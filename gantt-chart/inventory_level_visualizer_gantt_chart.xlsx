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B486869-5DD6-4A1D-87FD-485728EC82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A13" i="1"/>
  <c r="A14" i="1"/>
  <c r="A10" i="1"/>
  <c r="A12" i="1"/>
  <c r="A11" i="1"/>
  <c r="D3" i="1"/>
  <c r="B11" i="1"/>
  <c r="B12" i="1"/>
  <c r="B13" i="1"/>
  <c r="B14" i="1"/>
  <c r="D4" i="1"/>
  <c r="D5" i="1"/>
  <c r="E5" i="1" s="1"/>
  <c r="D6" i="1"/>
  <c r="E6" i="1" s="1"/>
  <c r="D2" i="1"/>
  <c r="E2" i="1" s="1"/>
  <c r="E3" i="1"/>
  <c r="E4" i="1"/>
</calcChain>
</file>

<file path=xl/sharedStrings.xml><?xml version="1.0" encoding="utf-8"?>
<sst xmlns="http://schemas.openxmlformats.org/spreadsheetml/2006/main" count="13" uniqueCount="12">
  <si>
    <t>Task</t>
  </si>
  <si>
    <t>Start Date</t>
  </si>
  <si>
    <t>Working days</t>
  </si>
  <si>
    <t>End Date</t>
  </si>
  <si>
    <t># days</t>
  </si>
  <si>
    <t>task #</t>
  </si>
  <si>
    <t>Completion</t>
  </si>
  <si>
    <t>Python Coding (Azimjon, Ahrorbek)</t>
  </si>
  <si>
    <t>Making of a Gantt Chart (Mark, Umar)</t>
  </si>
  <si>
    <t>PPT presentation (Khayatxon, Yusuf)</t>
  </si>
  <si>
    <t>FREECAD Modelling (Aleksandr, Muhammadqodir)</t>
  </si>
  <si>
    <t>Technical report (All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</si>
</sst>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9" fontId="0" fillId="3" borderId="0" xfId="0" applyNumberForma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723262853012935E-2"/>
          <c:y val="6.9112907971705329E-2"/>
          <c:w val="0.92876620660811371"/>
          <c:h val="0.8980021891882349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Лист1!$E$2:$E$21</c:f>
                <c:numCache>
                  <c:formatCode>General</c:formatCode>
                  <c:ptCount val="20"/>
                  <c:pt idx="0">
                    <c:v>2</c:v>
                  </c:pt>
                  <c:pt idx="1">
                    <c:v>5</c:v>
                  </c:pt>
                  <c:pt idx="2">
                    <c:v>4</c:v>
                  </c:pt>
                  <c:pt idx="3">
                    <c:v>4</c:v>
                  </c:pt>
                  <c:pt idx="4">
                    <c:v>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14300" cap="flat" cmpd="sng" algn="ctr">
                <a:solidFill>
                  <a:srgbClr val="808080"/>
                </a:solidFill>
                <a:prstDash val="solid"/>
                <a:round/>
              </a:ln>
              <a:effectLst/>
            </c:spPr>
          </c:errBars>
          <c:xVal>
            <c:strRef>
              <c:f>Лист1!$B$2:$B$25</c:f>
              <c:strCache>
                <c:ptCount val="13"/>
                <c:pt idx="0">
                  <c:v>27.11.2025</c:v>
                </c:pt>
                <c:pt idx="1">
                  <c:v>27.11.2025</c:v>
                </c:pt>
                <c:pt idx="2">
                  <c:v>01.12.2025</c:v>
                </c:pt>
                <c:pt idx="3">
                  <c:v>28.11.2025</c:v>
                </c:pt>
                <c:pt idx="4">
                  <c:v>30.11.2025</c:v>
                </c:pt>
                <c:pt idx="7">
                  <c:v>Working days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</c:strCache>
            </c:strRef>
          </c:xVal>
          <c:yVal>
            <c:numRef>
              <c:f>Лист1!$F$2:$F$25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strCache>
                      <c:ptCount val="1"/>
                      <c:pt idx="0">
                        <c:v>#ССЫЛКА!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32-D328-4431-ABA7-3D9EC2246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68103"/>
        <c:axId val="536070151"/>
      </c:scatterChart>
      <c:valAx>
        <c:axId val="536068103"/>
        <c:scaling>
          <c:orientation val="minMax"/>
        </c:scaling>
        <c:delete val="0"/>
        <c:axPos val="t"/>
        <c:numFmt formatCode="dd/mm" sourceLinked="0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070151"/>
        <c:crosses val="autoZero"/>
        <c:crossBetween val="midCat"/>
      </c:valAx>
      <c:valAx>
        <c:axId val="536070151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53606810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7</xdr:row>
      <xdr:rowOff>57150</xdr:rowOff>
    </xdr:from>
    <xdr:to>
      <xdr:col>7</xdr:col>
      <xdr:colOff>409575</xdr:colOff>
      <xdr:row>14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FFA6A0E-BF2A-183A-B649-2CE05048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A18" sqref="A18"/>
    </sheetView>
  </sheetViews>
  <sheetFormatPr defaultRowHeight="14"/>
  <cols>
    <col min="1" max="1" width="43.1640625" customWidth="1"/>
    <col min="2" max="2" width="13.4140625" customWidth="1"/>
    <col min="3" max="3" width="12.75" bestFit="1" customWidth="1"/>
    <col min="4" max="4" width="10.75" bestFit="1" customWidth="1"/>
    <col min="7" max="7" width="11.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5" t="s">
        <v>8</v>
      </c>
      <c r="B2" s="6">
        <v>45988</v>
      </c>
      <c r="C2" s="7">
        <v>1</v>
      </c>
      <c r="D2" s="6">
        <f>B2+C2</f>
        <v>45989</v>
      </c>
      <c r="E2" s="7">
        <f t="shared" ref="E2:E6" si="0">D2-B2+1</f>
        <v>2</v>
      </c>
      <c r="F2" s="7">
        <v>1</v>
      </c>
      <c r="G2" s="11">
        <v>1</v>
      </c>
    </row>
    <row r="3" spans="1:7">
      <c r="A3" s="5" t="s">
        <v>10</v>
      </c>
      <c r="B3" s="6">
        <v>45988</v>
      </c>
      <c r="C3" s="7">
        <v>4</v>
      </c>
      <c r="D3" s="6">
        <f>B3+C3</f>
        <v>45992</v>
      </c>
      <c r="E3" s="7">
        <f t="shared" si="0"/>
        <v>5</v>
      </c>
      <c r="F3" s="7">
        <v>2</v>
      </c>
      <c r="G3" s="11">
        <v>0.5</v>
      </c>
    </row>
    <row r="4" spans="1:7">
      <c r="A4" s="5" t="s">
        <v>7</v>
      </c>
      <c r="B4" s="6">
        <v>45992</v>
      </c>
      <c r="C4" s="7">
        <v>3</v>
      </c>
      <c r="D4" s="6">
        <f t="shared" ref="D4:D6" si="1">B4+C4</f>
        <v>45995</v>
      </c>
      <c r="E4" s="7">
        <f t="shared" si="0"/>
        <v>4</v>
      </c>
      <c r="F4" s="7">
        <v>3</v>
      </c>
      <c r="G4" s="11">
        <v>0.7</v>
      </c>
    </row>
    <row r="5" spans="1:7">
      <c r="A5" s="5" t="s">
        <v>9</v>
      </c>
      <c r="B5" s="6">
        <v>45989</v>
      </c>
      <c r="C5" s="7">
        <v>3</v>
      </c>
      <c r="D5" s="6">
        <f t="shared" si="1"/>
        <v>45992</v>
      </c>
      <c r="E5" s="7">
        <f t="shared" si="0"/>
        <v>4</v>
      </c>
      <c r="F5" s="7">
        <v>4</v>
      </c>
      <c r="G5" s="11">
        <v>0.75</v>
      </c>
    </row>
    <row r="6" spans="1:7">
      <c r="A6" s="5" t="s">
        <v>11</v>
      </c>
      <c r="B6" s="6">
        <v>45991</v>
      </c>
      <c r="C6" s="7">
        <v>2</v>
      </c>
      <c r="D6" s="6">
        <f t="shared" si="1"/>
        <v>45993</v>
      </c>
      <c r="E6" s="7">
        <f t="shared" si="0"/>
        <v>3</v>
      </c>
      <c r="F6" s="7">
        <v>5</v>
      </c>
      <c r="G6" s="11">
        <v>0.5</v>
      </c>
    </row>
    <row r="7" spans="1:7">
      <c r="B7" s="1"/>
      <c r="D7" s="1"/>
      <c r="G7" s="1"/>
    </row>
    <row r="8" spans="1:7">
      <c r="B8" s="2"/>
    </row>
    <row r="9" spans="1:7">
      <c r="A9" s="4"/>
      <c r="B9" s="8" t="s">
        <v>2</v>
      </c>
    </row>
    <row r="10" spans="1:7">
      <c r="A10" s="9" t="str">
        <f>A2</f>
        <v>Making of a Gantt Chart (Mark, Umar)</v>
      </c>
      <c r="B10" s="10">
        <f>C2</f>
        <v>1</v>
      </c>
    </row>
    <row r="11" spans="1:7">
      <c r="A11" s="9" t="str">
        <f>A3</f>
        <v>FREECAD Modelling (Aleksandr, Muhammadqodir)</v>
      </c>
      <c r="B11" s="10">
        <f>C3</f>
        <v>4</v>
      </c>
    </row>
    <row r="12" spans="1:7">
      <c r="A12" s="9" t="str">
        <f>A4</f>
        <v>Python Coding (Azimjon, Ahrorbek)</v>
      </c>
      <c r="B12" s="10">
        <f>C4</f>
        <v>3</v>
      </c>
    </row>
    <row r="13" spans="1:7">
      <c r="A13" s="9" t="str">
        <f>A5</f>
        <v>PPT presentation (Khayatxon, Yusuf)</v>
      </c>
      <c r="B13" s="10">
        <f>C5</f>
        <v>3</v>
      </c>
    </row>
    <row r="14" spans="1:7">
      <c r="A14" s="9" t="str">
        <f>A6</f>
        <v>Technical report (All team)</v>
      </c>
      <c r="B14" s="10">
        <f>C6</f>
        <v>2</v>
      </c>
    </row>
    <row r="15" spans="1:7">
      <c r="B15" s="1"/>
      <c r="D15" s="1"/>
    </row>
    <row r="16" spans="1:7">
      <c r="B16" s="1"/>
      <c r="D16" s="1"/>
    </row>
    <row r="17" spans="2:4">
      <c r="B17" s="1"/>
      <c r="D17" s="1"/>
    </row>
    <row r="18" spans="2:4">
      <c r="B18" s="1"/>
      <c r="D18" s="1"/>
    </row>
    <row r="19" spans="2:4">
      <c r="B19" s="1"/>
      <c r="D19" s="1"/>
    </row>
    <row r="20" spans="2:4">
      <c r="B20" s="1"/>
      <c r="D20" s="1"/>
    </row>
    <row r="21" spans="2:4">
      <c r="B21" s="1"/>
      <c r="D21" s="1"/>
    </row>
    <row r="25" spans="2:4">
      <c r="B25" s="1"/>
      <c r="D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Subaşı Yusuf</dc:creator>
  <cp:keywords/>
  <dc:description/>
  <cp:lastModifiedBy>Subaşı Yusuf</cp:lastModifiedBy>
  <cp:revision/>
  <dcterms:created xsi:type="dcterms:W3CDTF">2025-10-13T15:51:04Z</dcterms:created>
  <dcterms:modified xsi:type="dcterms:W3CDTF">2025-12-16T08:08:01Z</dcterms:modified>
  <cp:category/>
  <cp:contentStatus/>
</cp:coreProperties>
</file>